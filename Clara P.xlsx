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bookViews>
    <workbookView xWindow="0" yWindow="0" windowWidth="10380" windowHeight="12150" firstSheet="4" activeTab="7"/>
  </bookViews>
  <sheets>
    <sheet name="Notas" sheetId="1" r:id="rId1"/>
    <sheet name="Cálculos" sheetId="2" r:id="rId2"/>
    <sheet name="Orçamento" sheetId="3" r:id="rId3"/>
    <sheet name="Dados" sheetId="5" r:id="rId4"/>
    <sheet name="Viagem" sheetId="7" r:id="rId5"/>
    <sheet name="Mensalidades" sheetId="8" r:id="rId6"/>
    <sheet name="Rep e Apv" sheetId="10" r:id="rId7"/>
    <sheet name="Casamento" sheetId="11" r:id="rId8"/>
  </sheets>
  <definedNames>
    <definedName name="Desconto">Mensalidades!$G$3:$G$6</definedName>
    <definedName name="Idade">Mensalidades!$E$3:$E$6</definedName>
    <definedName name="Valor_Líquido">Mensalidades!$H$3:$H$6</definedName>
    <definedName name="valor_paulo">Mensalidades!$F$3:$G$3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7" i="11" l="1"/>
  <c r="E67" i="11"/>
  <c r="E57" i="11"/>
  <c r="E58" i="11"/>
  <c r="E59" i="11"/>
  <c r="E61" i="11"/>
  <c r="E56" i="11"/>
  <c r="E3" i="7"/>
  <c r="E4" i="7"/>
  <c r="B33" i="11"/>
  <c r="C67" i="11" s="1"/>
  <c r="E8" i="7"/>
  <c r="E10" i="7"/>
  <c r="E62" i="11" l="1"/>
  <c r="D67" i="11" s="1"/>
  <c r="E11" i="7"/>
  <c r="G4" i="8"/>
  <c r="I4" i="8" s="1"/>
  <c r="G5" i="8"/>
  <c r="H5" i="8" s="1"/>
  <c r="G6" i="8"/>
  <c r="H6" i="8" s="1"/>
  <c r="G3" i="8"/>
  <c r="I3" i="8" s="1"/>
  <c r="G6" i="10"/>
  <c r="G4" i="10"/>
  <c r="G8" i="10"/>
  <c r="G3" i="10"/>
  <c r="G5" i="10"/>
  <c r="G7" i="10"/>
  <c r="H4" i="8" l="1"/>
  <c r="I5" i="8"/>
  <c r="I6" i="8"/>
  <c r="G6" i="1"/>
  <c r="G7" i="1"/>
  <c r="G4" i="1" l="1"/>
  <c r="G5" i="1"/>
  <c r="G3" i="1"/>
  <c r="C11" i="3"/>
  <c r="C10" i="3"/>
  <c r="D11" i="3"/>
  <c r="B11" i="3"/>
  <c r="D10" i="3"/>
  <c r="B10" i="3"/>
  <c r="C4" i="2"/>
  <c r="C3" i="2"/>
  <c r="C7" i="2"/>
  <c r="C6" i="2"/>
  <c r="C5" i="2"/>
</calcChain>
</file>

<file path=xl/sharedStrings.xml><?xml version="1.0" encoding="utf-8"?>
<sst xmlns="http://schemas.openxmlformats.org/spreadsheetml/2006/main" count="274" uniqueCount="212">
  <si>
    <t>ALUNO</t>
  </si>
  <si>
    <t>MATEMÁTICA</t>
  </si>
  <si>
    <t>PORTUGUÊS</t>
  </si>
  <si>
    <t>HISTÓRIA</t>
  </si>
  <si>
    <t>GEOGRAFIA</t>
  </si>
  <si>
    <t>FALTAS</t>
  </si>
  <si>
    <t xml:space="preserve">Clara </t>
  </si>
  <si>
    <t>Ana</t>
  </si>
  <si>
    <t>Pedro</t>
  </si>
  <si>
    <t>Exponenciação</t>
  </si>
  <si>
    <t>Multiplicação</t>
  </si>
  <si>
    <t>Divisão</t>
  </si>
  <si>
    <t>Adição</t>
  </si>
  <si>
    <t>Subtração</t>
  </si>
  <si>
    <t>Operador</t>
  </si>
  <si>
    <t>Exemplo</t>
  </si>
  <si>
    <t>Operação</t>
  </si>
  <si>
    <t>^</t>
  </si>
  <si>
    <t>*</t>
  </si>
  <si>
    <t>/</t>
  </si>
  <si>
    <t>+</t>
  </si>
  <si>
    <t>-</t>
  </si>
  <si>
    <t>Orçamento Doméstico</t>
  </si>
  <si>
    <t>Contas a Pagar</t>
  </si>
  <si>
    <t>Aluguel</t>
  </si>
  <si>
    <t>Telefone</t>
  </si>
  <si>
    <t>Água</t>
  </si>
  <si>
    <t>Luz</t>
  </si>
  <si>
    <t>Combustível</t>
  </si>
  <si>
    <t>Prestação Carro</t>
  </si>
  <si>
    <t>Mercantil</t>
  </si>
  <si>
    <t>TOTAL</t>
  </si>
  <si>
    <t>Janeiro</t>
  </si>
  <si>
    <t>Fevereiro</t>
  </si>
  <si>
    <t>Março</t>
  </si>
  <si>
    <t>MÉDIA</t>
  </si>
  <si>
    <t>Carla</t>
  </si>
  <si>
    <t>Bruno</t>
  </si>
  <si>
    <t>DADOS DE INVENTÁRIO</t>
  </si>
  <si>
    <t>Caneta</t>
  </si>
  <si>
    <t>Preço</t>
  </si>
  <si>
    <t>Unidade</t>
  </si>
  <si>
    <t>Quantidade atual</t>
  </si>
  <si>
    <t>Descrição</t>
  </si>
  <si>
    <t>Lápis</t>
  </si>
  <si>
    <t>Códico</t>
  </si>
  <si>
    <t>Caderno</t>
  </si>
  <si>
    <t>Borracha</t>
  </si>
  <si>
    <t>Quantia de entrada</t>
  </si>
  <si>
    <t>Quantia de saída</t>
  </si>
  <si>
    <t>Disponibilidade</t>
  </si>
  <si>
    <t>Régua</t>
  </si>
  <si>
    <t>Lapizeira</t>
  </si>
  <si>
    <t>Apontador</t>
  </si>
  <si>
    <t>Mochila</t>
  </si>
  <si>
    <t>Pincél</t>
  </si>
  <si>
    <t>BOLETIM ESCOLAR</t>
  </si>
  <si>
    <t>Quantidade atual2</t>
  </si>
  <si>
    <t>PLANEJAMENTO  DE VIAGEM</t>
  </si>
  <si>
    <t>Categoria</t>
  </si>
  <si>
    <t>Valor Unitário</t>
  </si>
  <si>
    <t>Quantidade</t>
  </si>
  <si>
    <t>Valor Total</t>
  </si>
  <si>
    <t>Transporte</t>
  </si>
  <si>
    <t>Hospedagem</t>
  </si>
  <si>
    <t>Alimentação</t>
  </si>
  <si>
    <t>Atividades</t>
  </si>
  <si>
    <t>Total</t>
  </si>
  <si>
    <t>Passagem aérea</t>
  </si>
  <si>
    <t>Hotel</t>
  </si>
  <si>
    <t>Restaurante</t>
  </si>
  <si>
    <t>Ingresso para atração</t>
  </si>
  <si>
    <t>5 noites</t>
  </si>
  <si>
    <t>10 refeições</t>
  </si>
  <si>
    <t>2 atrações</t>
  </si>
  <si>
    <t>Compras</t>
  </si>
  <si>
    <t>Presentes</t>
  </si>
  <si>
    <t>6 mimos</t>
  </si>
  <si>
    <t>Matrícula</t>
  </si>
  <si>
    <t>Data</t>
  </si>
  <si>
    <t>Aluno</t>
  </si>
  <si>
    <t>Paulo</t>
  </si>
  <si>
    <t>Ruan</t>
  </si>
  <si>
    <t>Aline</t>
  </si>
  <si>
    <t>Anne</t>
  </si>
  <si>
    <t>Curso</t>
  </si>
  <si>
    <t>Idade</t>
  </si>
  <si>
    <t>Word 2016</t>
  </si>
  <si>
    <t>Excel básico</t>
  </si>
  <si>
    <t>Informática</t>
  </si>
  <si>
    <t>Valor da Mensalidade</t>
  </si>
  <si>
    <t>Desconto</t>
  </si>
  <si>
    <t>Valor Líquido</t>
  </si>
  <si>
    <t>CADASTRO DE ALUNOS - SENAC</t>
  </si>
  <si>
    <t>Desconto %</t>
  </si>
  <si>
    <t>Carlos</t>
  </si>
  <si>
    <t>Thiago</t>
  </si>
  <si>
    <t>Alice</t>
  </si>
  <si>
    <t>Camila</t>
  </si>
  <si>
    <t>Alunos</t>
  </si>
  <si>
    <t>Português</t>
  </si>
  <si>
    <t>Inglês</t>
  </si>
  <si>
    <t>Espanhol</t>
  </si>
  <si>
    <t>História</t>
  </si>
  <si>
    <t>Faltas</t>
  </si>
  <si>
    <t xml:space="preserve">MÉDIAS ALUNOS </t>
  </si>
  <si>
    <t>Percentual de Desconto</t>
  </si>
  <si>
    <t>Extras</t>
  </si>
  <si>
    <t>Higiene</t>
  </si>
  <si>
    <t>Passeios</t>
  </si>
  <si>
    <t>Bug e barco</t>
  </si>
  <si>
    <t>Carro</t>
  </si>
  <si>
    <t>PLANEJAMENTO DE CASAMENTO</t>
  </si>
  <si>
    <t>Lista de Convidados</t>
  </si>
  <si>
    <t xml:space="preserve">Nome </t>
  </si>
  <si>
    <t>Parentesco</t>
  </si>
  <si>
    <t>E-mail</t>
  </si>
  <si>
    <t>Pais do noivo</t>
  </si>
  <si>
    <t>Pais da noiva</t>
  </si>
  <si>
    <t>Padrinhos</t>
  </si>
  <si>
    <t>Madrinhas</t>
  </si>
  <si>
    <t>Damas de honra</t>
  </si>
  <si>
    <t>Tias da noiva/noivo</t>
  </si>
  <si>
    <t>Tios da noiva/noivo</t>
  </si>
  <si>
    <t>Primos e primas</t>
  </si>
  <si>
    <t>Emerson Rocha</t>
  </si>
  <si>
    <t>Noivo</t>
  </si>
  <si>
    <t>Noiva</t>
  </si>
  <si>
    <t>Pais</t>
  </si>
  <si>
    <t>Damas</t>
  </si>
  <si>
    <t>Tias</t>
  </si>
  <si>
    <t>Tios</t>
  </si>
  <si>
    <t>Primos</t>
  </si>
  <si>
    <t>Avos</t>
  </si>
  <si>
    <t>Irmã do noivo</t>
  </si>
  <si>
    <t>Irmã</t>
  </si>
  <si>
    <t>(88)9999-9999</t>
  </si>
  <si>
    <t>(88)9999-10000</t>
  </si>
  <si>
    <t>(88)9999-10001</t>
  </si>
  <si>
    <t>(88)9999-10002</t>
  </si>
  <si>
    <t>(88)9999-10003</t>
  </si>
  <si>
    <t>(88)9999-10004</t>
  </si>
  <si>
    <t>(88)9999-10005</t>
  </si>
  <si>
    <t>(88)9999-10006</t>
  </si>
  <si>
    <t>(88)9999-10007</t>
  </si>
  <si>
    <t>(88)9999-10008</t>
  </si>
  <si>
    <t>(88)9999-10009</t>
  </si>
  <si>
    <t>(88)9999-10010</t>
  </si>
  <si>
    <t>emerson.rocha@gmail.com</t>
  </si>
  <si>
    <t>pais@gmail.com</t>
  </si>
  <si>
    <t>irma@gmail.com</t>
  </si>
  <si>
    <t>padrinhos@gmail.com</t>
  </si>
  <si>
    <t>madrinhas@gmail.com</t>
  </si>
  <si>
    <t>damas@gmail.com</t>
  </si>
  <si>
    <t>tias@gmail.com</t>
  </si>
  <si>
    <t>tios@gmail.com</t>
  </si>
  <si>
    <t>primoa@gmail.com</t>
  </si>
  <si>
    <t xml:space="preserve">avos@gmail.com </t>
  </si>
  <si>
    <t xml:space="preserve">clara.patriolino@gmail.com </t>
  </si>
  <si>
    <t>Clara Patriolino</t>
  </si>
  <si>
    <t>Buffet</t>
  </si>
  <si>
    <t>Bebidas</t>
  </si>
  <si>
    <t>Custos</t>
  </si>
  <si>
    <t>Decoração</t>
  </si>
  <si>
    <t>Músicas</t>
  </si>
  <si>
    <t>Bolos</t>
  </si>
  <si>
    <t>Doces</t>
  </si>
  <si>
    <t>Lembrancinhas</t>
  </si>
  <si>
    <t>Roupas</t>
  </si>
  <si>
    <t>Item</t>
  </si>
  <si>
    <t>Valor</t>
  </si>
  <si>
    <t>Outros</t>
  </si>
  <si>
    <t>5 dias</t>
  </si>
  <si>
    <t>Amigos</t>
  </si>
  <si>
    <t>(88)9999-10011</t>
  </si>
  <si>
    <t>amigos@gmail.com</t>
  </si>
  <si>
    <t>Convites extras</t>
  </si>
  <si>
    <t>extras</t>
  </si>
  <si>
    <t>extras@gmail.com</t>
  </si>
  <si>
    <t>CRONOGRAMA EVENTO</t>
  </si>
  <si>
    <t>Horário</t>
  </si>
  <si>
    <t>Reserva do buffet</t>
  </si>
  <si>
    <t>Definição menu</t>
  </si>
  <si>
    <t>Envio convites</t>
  </si>
  <si>
    <t>Confirma presença</t>
  </si>
  <si>
    <t>Pagamento buffet</t>
  </si>
  <si>
    <t>Montagem decoração</t>
  </si>
  <si>
    <t>Chegada convidados</t>
  </si>
  <si>
    <t>Fim evento</t>
  </si>
  <si>
    <t>Noiva se arrumar</t>
  </si>
  <si>
    <t>Chegada na igreja</t>
  </si>
  <si>
    <t>Saída da igreja</t>
  </si>
  <si>
    <t>Entrada no evento</t>
  </si>
  <si>
    <t>12 meses antes</t>
  </si>
  <si>
    <t>6 meses antes</t>
  </si>
  <si>
    <t>3 meses antes</t>
  </si>
  <si>
    <t>2 meses antes</t>
  </si>
  <si>
    <t>1 dia antes</t>
  </si>
  <si>
    <t>Dia 23/12/2023</t>
  </si>
  <si>
    <t>LUA DE MEL</t>
  </si>
  <si>
    <t>Valor unitário</t>
  </si>
  <si>
    <t>Valor total</t>
  </si>
  <si>
    <t>Atrações</t>
  </si>
  <si>
    <t>Barco e trilha</t>
  </si>
  <si>
    <t>Diversas</t>
  </si>
  <si>
    <t>Gasolina</t>
  </si>
  <si>
    <t>DADOS DE GASTOS TOTAIS</t>
  </si>
  <si>
    <t>FESTA</t>
  </si>
  <si>
    <t xml:space="preserve">INICIO </t>
  </si>
  <si>
    <t>CATEGORIA</t>
  </si>
  <si>
    <t>SALDO</t>
  </si>
  <si>
    <t>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</si>
</sst>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.0_-;\-* #,##0.0_-;_-* &quot;-&quot;??_-;_-@_-"/>
    <numFmt numFmtId="166" formatCode="0.0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gradientFill type="path" left="0.5" right="0.5" top="0.5" bottom="0.5">
        <stop position="0">
          <color rgb="FF7030A0"/>
        </stop>
        <stop position="1">
          <color theme="9" tint="-0.25098422193060094"/>
        </stop>
      </gradient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12">
    <xf numFmtId="0" fontId="0" fillId="0" borderId="0" xfId="0"/>
    <xf numFmtId="0" fontId="0" fillId="4" borderId="1" xfId="0" applyFill="1" applyBorder="1"/>
    <xf numFmtId="0" fontId="2" fillId="3" borderId="0" xfId="0" applyFont="1" applyFill="1"/>
    <xf numFmtId="43" fontId="0" fillId="4" borderId="1" xfId="1" applyFont="1" applyFill="1" applyBorder="1"/>
    <xf numFmtId="0" fontId="0" fillId="6" borderId="0" xfId="0" applyFill="1"/>
    <xf numFmtId="164" fontId="2" fillId="5" borderId="1" xfId="0" applyNumberFormat="1" applyFont="1" applyFill="1" applyBorder="1"/>
    <xf numFmtId="164" fontId="2" fillId="5" borderId="1" xfId="1" applyNumberFormat="1" applyFont="1" applyFill="1" applyBorder="1"/>
    <xf numFmtId="44" fontId="0" fillId="9" borderId="1" xfId="2" applyFont="1" applyFill="1" applyBorder="1"/>
    <xf numFmtId="0" fontId="0" fillId="9" borderId="1" xfId="0" applyFill="1" applyBorder="1" applyAlignment="1">
      <alignment horizontal="center" vertical="center"/>
    </xf>
    <xf numFmtId="44" fontId="0" fillId="9" borderId="1" xfId="2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10" borderId="1" xfId="0" applyFill="1" applyBorder="1"/>
    <xf numFmtId="164" fontId="0" fillId="10" borderId="1" xfId="0" applyNumberFormat="1" applyFill="1" applyBorder="1"/>
    <xf numFmtId="164" fontId="0" fillId="10" borderId="1" xfId="2" applyNumberFormat="1" applyFont="1" applyFill="1" applyBorder="1"/>
    <xf numFmtId="0" fontId="2" fillId="5" borderId="1" xfId="0" applyFont="1" applyFill="1" applyBorder="1"/>
    <xf numFmtId="0" fontId="7" fillId="10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right" vertical="center"/>
    </xf>
    <xf numFmtId="166" fontId="2" fillId="12" borderId="3" xfId="0" applyNumberFormat="1" applyFont="1" applyFill="1" applyBorder="1" applyAlignment="1">
      <alignment horizontal="right" vertical="center"/>
    </xf>
    <xf numFmtId="165" fontId="2" fillId="12" borderId="9" xfId="1" applyNumberFormat="1" applyFont="1" applyFill="1" applyBorder="1" applyAlignment="1">
      <alignment horizontal="right" vertical="center"/>
    </xf>
    <xf numFmtId="0" fontId="0" fillId="8" borderId="2" xfId="0" applyNumberFormat="1" applyFont="1" applyFill="1" applyBorder="1" applyAlignment="1">
      <alignment horizontal="center" vertical="center"/>
    </xf>
    <xf numFmtId="0" fontId="0" fillId="8" borderId="2" xfId="0" applyNumberFormat="1" applyFont="1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2" fillId="8" borderId="4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0" fillId="8" borderId="7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44" fontId="0" fillId="9" borderId="8" xfId="2" applyFont="1" applyFill="1" applyBorder="1"/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readingOrder="1"/>
    </xf>
    <xf numFmtId="0" fontId="5" fillId="2" borderId="5" xfId="0" applyFont="1" applyFill="1" applyBorder="1" applyAlignment="1">
      <alignment horizontal="center" vertical="center" readingOrder="1"/>
    </xf>
    <xf numFmtId="0" fontId="2" fillId="12" borderId="6" xfId="0" applyFont="1" applyFill="1" applyBorder="1" applyAlignment="1">
      <alignment horizontal="center" vertical="center" readingOrder="1"/>
    </xf>
    <xf numFmtId="0" fontId="0" fillId="0" borderId="9" xfId="0" applyBorder="1"/>
    <xf numFmtId="0" fontId="0" fillId="0" borderId="0" xfId="0" applyAlignment="1">
      <alignment horizontal="center"/>
    </xf>
    <xf numFmtId="44" fontId="0" fillId="0" borderId="0" xfId="2" applyFont="1"/>
    <xf numFmtId="0" fontId="0" fillId="14" borderId="5" xfId="0" applyFill="1" applyBorder="1"/>
    <xf numFmtId="0" fontId="2" fillId="13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15" borderId="1" xfId="0" applyFont="1" applyFill="1" applyBorder="1" applyAlignment="1">
      <alignment horizontal="center" wrapText="1"/>
    </xf>
    <xf numFmtId="0" fontId="0" fillId="0" borderId="8" xfId="0" applyBorder="1"/>
    <xf numFmtId="14" fontId="0" fillId="10" borderId="1" xfId="0" applyNumberFormat="1" applyFill="1" applyBorder="1"/>
    <xf numFmtId="0" fontId="0" fillId="10" borderId="1" xfId="0" applyFill="1" applyBorder="1" applyAlignment="1">
      <alignment horizontal="center" vertical="center"/>
    </xf>
    <xf numFmtId="44" fontId="0" fillId="10" borderId="1" xfId="2" applyFont="1" applyFill="1" applyBorder="1" applyAlignment="1">
      <alignment horizontal="center"/>
    </xf>
    <xf numFmtId="44" fontId="0" fillId="10" borderId="1" xfId="2" applyFont="1" applyFill="1" applyBorder="1"/>
    <xf numFmtId="0" fontId="2" fillId="15" borderId="5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0" fillId="10" borderId="3" xfId="2" applyNumberFormat="1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/>
    </xf>
    <xf numFmtId="166" fontId="0" fillId="0" borderId="3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textRotation="90" wrapText="1"/>
    </xf>
    <xf numFmtId="0" fontId="2" fillId="0" borderId="5" xfId="0" applyFont="1" applyBorder="1" applyAlignment="1">
      <alignment horizontal="center" textRotation="90" wrapText="1"/>
    </xf>
    <xf numFmtId="0" fontId="2" fillId="0" borderId="6" xfId="0" applyFont="1" applyBorder="1" applyAlignment="1">
      <alignment horizontal="center" textRotation="90" wrapText="1"/>
    </xf>
    <xf numFmtId="0" fontId="2" fillId="0" borderId="7" xfId="0" applyFont="1" applyBorder="1"/>
    <xf numFmtId="0" fontId="0" fillId="15" borderId="1" xfId="0" applyFill="1" applyBorder="1" applyAlignment="1">
      <alignment horizontal="center" vertical="center" wrapText="1"/>
    </xf>
    <xf numFmtId="167" fontId="0" fillId="10" borderId="1" xfId="3" applyNumberFormat="1" applyFont="1" applyFill="1" applyBorder="1" applyAlignment="1">
      <alignment horizontal="center" vertical="center"/>
    </xf>
    <xf numFmtId="9" fontId="0" fillId="10" borderId="10" xfId="3" applyNumberFormat="1" applyFont="1" applyFill="1" applyBorder="1" applyAlignment="1">
      <alignment horizontal="center" vertical="center"/>
    </xf>
    <xf numFmtId="44" fontId="0" fillId="10" borderId="1" xfId="2" applyNumberFormat="1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/>
    </xf>
    <xf numFmtId="0" fontId="3" fillId="17" borderId="11" xfId="0" applyFont="1" applyFill="1" applyBorder="1" applyAlignment="1">
      <alignment horizontal="center" vertical="center"/>
    </xf>
    <xf numFmtId="0" fontId="3" fillId="17" borderId="0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/>
    </xf>
    <xf numFmtId="44" fontId="9" fillId="0" borderId="0" xfId="2" applyFont="1"/>
    <xf numFmtId="44" fontId="0" fillId="13" borderId="0" xfId="2" applyFont="1" applyFill="1"/>
    <xf numFmtId="0" fontId="2" fillId="8" borderId="13" xfId="0" applyFont="1" applyFill="1" applyBorder="1"/>
    <xf numFmtId="0" fontId="0" fillId="14" borderId="13" xfId="0" applyFill="1" applyBorder="1"/>
    <xf numFmtId="0" fontId="3" fillId="20" borderId="15" xfId="0" applyFont="1" applyFill="1" applyBorder="1" applyAlignment="1">
      <alignment horizontal="center"/>
    </xf>
    <xf numFmtId="0" fontId="0" fillId="14" borderId="13" xfId="0" applyFill="1" applyBorder="1" applyAlignment="1">
      <alignment horizontal="center" vertical="center"/>
    </xf>
    <xf numFmtId="0" fontId="0" fillId="19" borderId="13" xfId="0" applyFill="1" applyBorder="1" applyAlignment="1">
      <alignment horizontal="center" vertical="center"/>
    </xf>
    <xf numFmtId="0" fontId="11" fillId="19" borderId="13" xfId="0" applyFont="1" applyFill="1" applyBorder="1" applyAlignment="1">
      <alignment horizontal="center" vertical="center"/>
    </xf>
    <xf numFmtId="0" fontId="12" fillId="19" borderId="13" xfId="4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left" vertical="center"/>
    </xf>
    <xf numFmtId="44" fontId="0" fillId="19" borderId="13" xfId="2" applyFont="1" applyFill="1" applyBorder="1"/>
    <xf numFmtId="0" fontId="0" fillId="8" borderId="13" xfId="0" applyFill="1" applyBorder="1"/>
    <xf numFmtId="44" fontId="0" fillId="19" borderId="13" xfId="0" applyNumberFormat="1" applyFill="1" applyBorder="1"/>
    <xf numFmtId="0" fontId="8" fillId="8" borderId="13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0" fontId="14" fillId="21" borderId="13" xfId="0" applyFont="1" applyFill="1" applyBorder="1" applyAlignment="1">
      <alignment horizontal="center"/>
    </xf>
    <xf numFmtId="0" fontId="3" fillId="20" borderId="13" xfId="0" applyFont="1" applyFill="1" applyBorder="1" applyAlignment="1">
      <alignment horizontal="center"/>
    </xf>
    <xf numFmtId="0" fontId="2" fillId="14" borderId="13" xfId="0" applyFont="1" applyFill="1" applyBorder="1" applyAlignment="1">
      <alignment horizontal="center" vertical="center"/>
    </xf>
    <xf numFmtId="20" fontId="0" fillId="19" borderId="13" xfId="0" applyNumberFormat="1" applyFill="1" applyBorder="1" applyAlignment="1">
      <alignment horizontal="center" vertical="center"/>
    </xf>
    <xf numFmtId="14" fontId="0" fillId="19" borderId="13" xfId="0" applyNumberFormat="1" applyFill="1" applyBorder="1" applyAlignment="1">
      <alignment horizontal="center" vertical="center"/>
    </xf>
    <xf numFmtId="0" fontId="8" fillId="8" borderId="13" xfId="0" applyFont="1" applyFill="1" applyBorder="1"/>
    <xf numFmtId="44" fontId="0" fillId="19" borderId="13" xfId="2" applyFont="1" applyFill="1" applyBorder="1" applyAlignment="1">
      <alignment horizontal="center" vertical="center"/>
    </xf>
    <xf numFmtId="44" fontId="0" fillId="19" borderId="13" xfId="0" applyNumberForma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left" vertical="center"/>
    </xf>
    <xf numFmtId="44" fontId="8" fillId="13" borderId="13" xfId="0" applyNumberFormat="1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left" vertical="center"/>
    </xf>
    <xf numFmtId="44" fontId="2" fillId="13" borderId="13" xfId="0" applyNumberFormat="1" applyFont="1" applyFill="1" applyBorder="1"/>
    <xf numFmtId="44" fontId="2" fillId="13" borderId="13" xfId="0" applyNumberFormat="1" applyFont="1" applyFill="1" applyBorder="1" applyAlignment="1">
      <alignment vertical="center"/>
    </xf>
    <xf numFmtId="0" fontId="2" fillId="13" borderId="13" xfId="0" applyFont="1" applyFill="1" applyBorder="1"/>
    <xf numFmtId="0" fontId="2" fillId="3" borderId="13" xfId="0" applyFont="1" applyFill="1" applyBorder="1"/>
    <xf numFmtId="44" fontId="2" fillId="3" borderId="13" xfId="0" applyNumberFormat="1" applyFont="1" applyFill="1" applyBorder="1"/>
  </cellXfs>
  <cellStyles count="5">
    <cellStyle name="Hiperlink" xfId="4" builtinId="8"/>
    <cellStyle name="Moeda" xfId="2" builtinId="4"/>
    <cellStyle name="Normal" xfId="0" builtinId="0"/>
    <cellStyle name="Porcentagem" xfId="3" builtinId="5"/>
    <cellStyle name="Vírgula" xfId="1" builtinId="3"/>
  </cellStyles>
  <dxfs count="49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gradientFill type="path" left="0.5" right="0.5" top="0.5" bottom="0.5">
          <stop position="0">
            <color rgb="FF7030A0"/>
          </stop>
          <stop position="1">
            <color theme="9" tint="-0.25098422193060094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G7" totalsRowShown="0" headerRowDxfId="48" dataDxfId="46" headerRowBorderDxfId="47" tableBorderDxfId="45" totalsRowBorderDxfId="44">
  <autoFilter ref="A2:G7"/>
  <sortState ref="A3:G7">
    <sortCondition ref="A2:A7"/>
  </sortState>
  <tableColumns count="7">
    <tableColumn id="1" name="ALUNO" dataDxfId="43"/>
    <tableColumn id="2" name="MATEMÁTICA" dataDxfId="42"/>
    <tableColumn id="3" name="PORTUGUÊS" dataDxfId="41"/>
    <tableColumn id="4" name="HISTÓRIA" dataDxfId="40"/>
    <tableColumn id="5" name="GEOGRAFIA" dataDxfId="39"/>
    <tableColumn id="6" name="FALTAS" dataDxfId="38"/>
    <tableColumn id="7" name="MÉDIA" dataDxfId="37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2:I11" totalsRowShown="0" headerRowDxfId="36" dataDxfId="34" headerRowBorderDxfId="35" tableBorderDxfId="33" totalsRowBorderDxfId="32">
  <autoFilter ref="A2:I11"/>
  <tableColumns count="9">
    <tableColumn id="1" name="Códico" dataDxfId="31"/>
    <tableColumn id="2" name="Descrição" dataDxfId="30"/>
    <tableColumn id="3" name="Preço" dataDxfId="29" dataCellStyle="Moeda"/>
    <tableColumn id="4" name="Unidade" dataDxfId="28"/>
    <tableColumn id="5" name="Quantidade atual" dataDxfId="27"/>
    <tableColumn id="6" name="Quantia de entrada" dataDxfId="26"/>
    <tableColumn id="7" name="Quantia de saída" dataDxfId="25"/>
    <tableColumn id="8" name="Quantidade atual2" dataDxfId="24"/>
    <tableColumn id="9" name="Disponibilidade" dataDxfId="2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5" name="Tabela5" displayName="Tabela5" ref="A2:E10" totalsRowShown="0" headerRowDxfId="22" headerRowBorderDxfId="21" tableBorderDxfId="20">
  <autoFilter ref="A2:E10"/>
  <tableColumns count="5">
    <tableColumn id="1" name="Categoria"/>
    <tableColumn id="2" name="Descrição"/>
    <tableColumn id="3" name="Valor Unitário" dataDxfId="19" dataCellStyle="Moeda"/>
    <tableColumn id="4" name="Quantidade"/>
    <tableColumn id="5" name="Valor Total" dataDxfId="18" dataCellStyle="Moeda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7" name="Tabela7" displayName="Tabela7" ref="A2:G9" totalsRowShown="0" headerRowDxfId="17" dataDxfId="15" headerRowBorderDxfId="16" tableBorderDxfId="14" totalsRowBorderDxfId="13">
  <autoFilter ref="A2:G9"/>
  <sortState ref="A3:G9">
    <sortCondition ref="A2:A9"/>
  </sortState>
  <tableColumns count="7">
    <tableColumn id="1" name="Alunos" dataDxfId="12"/>
    <tableColumn id="2" name="História" dataDxfId="11"/>
    <tableColumn id="3" name="Português" dataDxfId="10"/>
    <tableColumn id="4" name="Inglês" dataDxfId="9"/>
    <tableColumn id="5" name="Espanhol" dataDxfId="8"/>
    <tableColumn id="6" name="Faltas" dataDxfId="7"/>
    <tableColumn id="7" name="MÉDIA" dataDxf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padrinhos@gmail.com" TargetMode="External"/><Relationship Id="rId13" Type="http://schemas.openxmlformats.org/officeDocument/2006/relationships/hyperlink" Target="mailto:amigos@gmail.com" TargetMode="External"/><Relationship Id="rId3" Type="http://schemas.openxmlformats.org/officeDocument/2006/relationships/hyperlink" Target="mailto:primoa@gmail.com" TargetMode="External"/><Relationship Id="rId7" Type="http://schemas.openxmlformats.org/officeDocument/2006/relationships/hyperlink" Target="mailto:madrinhas@gmail.com" TargetMode="External"/><Relationship Id="rId12" Type="http://schemas.openxmlformats.org/officeDocument/2006/relationships/hyperlink" Target="mailto:clara.patriolino@gmail.com" TargetMode="External"/><Relationship Id="rId2" Type="http://schemas.openxmlformats.org/officeDocument/2006/relationships/hyperlink" Target="mailto:avos@gmail.com" TargetMode="External"/><Relationship Id="rId1" Type="http://schemas.openxmlformats.org/officeDocument/2006/relationships/hyperlink" Target="mailto:emerson.rocha@gmail.com" TargetMode="External"/><Relationship Id="rId6" Type="http://schemas.openxmlformats.org/officeDocument/2006/relationships/hyperlink" Target="mailto:damas@gmail.com" TargetMode="External"/><Relationship Id="rId11" Type="http://schemas.openxmlformats.org/officeDocument/2006/relationships/hyperlink" Target="mailto:pais@gmail.com" TargetMode="External"/><Relationship Id="rId5" Type="http://schemas.openxmlformats.org/officeDocument/2006/relationships/hyperlink" Target="mailto:tias@gmail.com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mailto:pais@gmail.com" TargetMode="External"/><Relationship Id="rId4" Type="http://schemas.openxmlformats.org/officeDocument/2006/relationships/hyperlink" Target="mailto:tios@gmail.com" TargetMode="External"/><Relationship Id="rId9" Type="http://schemas.openxmlformats.org/officeDocument/2006/relationships/hyperlink" Target="mailto:irma@gmail.com" TargetMode="External"/><Relationship Id="rId14" Type="http://schemas.openxmlformats.org/officeDocument/2006/relationships/hyperlink" Target="mailto:extr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Normal="100" workbookViewId="0">
      <selection activeCell="H2" sqref="H2"/>
    </sheetView>
  </sheetViews>
  <sheetFormatPr defaultRowHeight="15" x14ac:dyDescent="0.25"/>
  <cols>
    <col min="1" max="1" width="9.5703125" customWidth="1"/>
    <col min="2" max="2" width="15.42578125" customWidth="1"/>
    <col min="3" max="3" width="14.140625" customWidth="1"/>
    <col min="4" max="4" width="11.42578125" customWidth="1"/>
    <col min="5" max="5" width="13.7109375" customWidth="1"/>
    <col min="6" max="6" width="12" bestFit="1" customWidth="1"/>
    <col min="7" max="7" width="9.5703125" bestFit="1" customWidth="1"/>
    <col min="8" max="8" width="10.5703125" bestFit="1" customWidth="1"/>
  </cols>
  <sheetData>
    <row r="1" spans="1:8" ht="18.75" x14ac:dyDescent="0.25">
      <c r="A1" s="73" t="s">
        <v>56</v>
      </c>
      <c r="B1" s="73"/>
      <c r="C1" s="73"/>
      <c r="D1" s="73"/>
      <c r="E1" s="73"/>
      <c r="F1" s="73"/>
      <c r="G1" s="73"/>
    </row>
    <row r="2" spans="1:8" ht="30" customHeight="1" x14ac:dyDescent="0.25">
      <c r="A2" s="39" t="s">
        <v>0</v>
      </c>
      <c r="B2" s="40" t="s">
        <v>1</v>
      </c>
      <c r="C2" s="40" t="s">
        <v>2</v>
      </c>
      <c r="D2" s="40" t="s">
        <v>3</v>
      </c>
      <c r="E2" s="40" t="s">
        <v>4</v>
      </c>
      <c r="F2" s="40" t="s">
        <v>5</v>
      </c>
      <c r="G2" s="41" t="s">
        <v>35</v>
      </c>
    </row>
    <row r="3" spans="1:8" x14ac:dyDescent="0.25">
      <c r="A3" s="20" t="s">
        <v>7</v>
      </c>
      <c r="B3" s="13">
        <v>7</v>
      </c>
      <c r="C3" s="13">
        <v>8</v>
      </c>
      <c r="D3" s="13">
        <v>7.5</v>
      </c>
      <c r="E3" s="13">
        <v>8.5</v>
      </c>
      <c r="F3" s="13">
        <v>3</v>
      </c>
      <c r="G3" s="23">
        <f>AVERAGE(B3:F3)</f>
        <v>6.8</v>
      </c>
    </row>
    <row r="4" spans="1:8" x14ac:dyDescent="0.25">
      <c r="A4" s="19" t="s">
        <v>37</v>
      </c>
      <c r="B4" s="12">
        <v>5.5</v>
      </c>
      <c r="C4" s="12">
        <v>10</v>
      </c>
      <c r="D4" s="12">
        <v>8</v>
      </c>
      <c r="E4" s="12">
        <v>6</v>
      </c>
      <c r="F4" s="12">
        <v>1</v>
      </c>
      <c r="G4" s="24">
        <f>AVERAGE(B4:E4)</f>
        <v>7.375</v>
      </c>
    </row>
    <row r="5" spans="1:8" x14ac:dyDescent="0.25">
      <c r="A5" s="20" t="s">
        <v>36</v>
      </c>
      <c r="B5" s="13">
        <v>7</v>
      </c>
      <c r="C5" s="13">
        <v>8</v>
      </c>
      <c r="D5" s="13">
        <v>9</v>
      </c>
      <c r="E5" s="13">
        <v>9</v>
      </c>
      <c r="F5" s="13">
        <v>0</v>
      </c>
      <c r="G5" s="24">
        <f>AVERAGE(B5:E5)</f>
        <v>8.25</v>
      </c>
    </row>
    <row r="6" spans="1:8" x14ac:dyDescent="0.25">
      <c r="A6" s="19" t="s">
        <v>6</v>
      </c>
      <c r="B6" s="12">
        <v>8.5</v>
      </c>
      <c r="C6" s="12">
        <v>7</v>
      </c>
      <c r="D6" s="12">
        <v>6.5</v>
      </c>
      <c r="E6" s="12">
        <v>9</v>
      </c>
      <c r="F6" s="12">
        <v>5</v>
      </c>
      <c r="G6" s="23">
        <f>AVERAGE(B6:F6)</f>
        <v>7.2</v>
      </c>
    </row>
    <row r="7" spans="1:8" x14ac:dyDescent="0.25">
      <c r="A7" s="21" t="s">
        <v>8</v>
      </c>
      <c r="B7" s="22">
        <v>6</v>
      </c>
      <c r="C7" s="22">
        <v>6.5</v>
      </c>
      <c r="D7" s="22">
        <v>8</v>
      </c>
      <c r="E7" s="22">
        <v>7</v>
      </c>
      <c r="F7" s="22">
        <v>4</v>
      </c>
      <c r="G7" s="25">
        <f>AVERAGE(B7:F7)</f>
        <v>6.3</v>
      </c>
    </row>
    <row r="11" spans="1:8" ht="45" x14ac:dyDescent="0.25">
      <c r="A11" s="49" t="s">
        <v>78</v>
      </c>
      <c r="B11" s="49" t="s">
        <v>79</v>
      </c>
      <c r="C11" s="49" t="s">
        <v>80</v>
      </c>
      <c r="D11" s="49" t="s">
        <v>85</v>
      </c>
      <c r="E11" s="49" t="s">
        <v>86</v>
      </c>
      <c r="F11" s="52" t="s">
        <v>90</v>
      </c>
      <c r="G11" s="50" t="s">
        <v>91</v>
      </c>
      <c r="H11" s="50" t="s">
        <v>92</v>
      </c>
    </row>
    <row r="12" spans="1:8" x14ac:dyDescent="0.25">
      <c r="A12" s="49">
        <v>13456</v>
      </c>
      <c r="B12" s="54">
        <v>45161</v>
      </c>
      <c r="C12" s="14" t="s">
        <v>81</v>
      </c>
      <c r="D12" s="14" t="s">
        <v>88</v>
      </c>
      <c r="E12" s="55">
        <v>22</v>
      </c>
      <c r="F12" s="56">
        <v>150</v>
      </c>
      <c r="G12" s="57">
        <v>15</v>
      </c>
      <c r="H12" s="57">
        <v>135</v>
      </c>
    </row>
    <row r="13" spans="1:8" x14ac:dyDescent="0.25">
      <c r="A13" s="49">
        <v>13654</v>
      </c>
      <c r="B13" s="54">
        <v>45144</v>
      </c>
      <c r="C13" s="14" t="s">
        <v>82</v>
      </c>
      <c r="D13" s="14" t="s">
        <v>87</v>
      </c>
      <c r="E13" s="55">
        <v>18</v>
      </c>
      <c r="F13" s="56">
        <v>150</v>
      </c>
      <c r="G13" s="57">
        <v>10</v>
      </c>
      <c r="H13" s="57">
        <v>140</v>
      </c>
    </row>
    <row r="14" spans="1:8" x14ac:dyDescent="0.25">
      <c r="A14" s="49">
        <v>13256</v>
      </c>
      <c r="B14" s="54">
        <v>45126</v>
      </c>
      <c r="C14" s="14" t="s">
        <v>83</v>
      </c>
      <c r="D14" s="14" t="s">
        <v>89</v>
      </c>
      <c r="E14" s="55">
        <v>26</v>
      </c>
      <c r="F14" s="56">
        <v>200</v>
      </c>
      <c r="G14" s="57">
        <v>25</v>
      </c>
      <c r="H14" s="57">
        <v>175</v>
      </c>
    </row>
    <row r="15" spans="1:8" x14ac:dyDescent="0.25">
      <c r="A15" s="49">
        <v>13965</v>
      </c>
      <c r="B15" s="54">
        <v>45027</v>
      </c>
      <c r="C15" s="14" t="s">
        <v>84</v>
      </c>
      <c r="D15" s="14" t="s">
        <v>89</v>
      </c>
      <c r="E15" s="55">
        <v>20</v>
      </c>
      <c r="F15" s="56">
        <v>200</v>
      </c>
      <c r="G15" s="57">
        <v>25</v>
      </c>
      <c r="H15" s="57">
        <v>175</v>
      </c>
    </row>
  </sheetData>
  <mergeCells count="1">
    <mergeCell ref="A1:G1"/>
  </mergeCells>
  <conditionalFormatting sqref="A1:G1">
    <cfRule type="cellIs" dxfId="5" priority="5" operator="lessThan">
      <formula>7</formula>
    </cfRule>
    <cfRule type="colorScale" priority="6">
      <colorScale>
        <cfvo type="min"/>
        <cfvo type="max"/>
        <color rgb="FFFF0000"/>
        <color theme="9"/>
      </colorScale>
    </cfRule>
  </conditionalFormatting>
  <conditionalFormatting sqref="B3:E7">
    <cfRule type="cellIs" dxfId="4" priority="4" operator="lessThan">
      <formula>7</formula>
    </cfRule>
  </conditionalFormatting>
  <conditionalFormatting sqref="B3:F7">
    <cfRule type="cellIs" dxfId="3" priority="1" operator="equal">
      <formula>10</formula>
    </cfRule>
    <cfRule type="iconSet" priority="2">
      <iconSet iconSet="3Symbols">
        <cfvo type="percent" val="0"/>
        <cfvo type="percent" val="33"/>
        <cfvo type="percent" val="67"/>
      </iconSet>
    </cfRule>
    <cfRule type="cellIs" dxfId="2" priority="3" operator="between">
      <formula>0</formula>
      <formula>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1" sqref="D1"/>
    </sheetView>
  </sheetViews>
  <sheetFormatPr defaultRowHeight="15" x14ac:dyDescent="0.25"/>
  <cols>
    <col min="1" max="1" width="14.28515625" bestFit="1" customWidth="1"/>
  </cols>
  <sheetData>
    <row r="1" spans="1:3" x14ac:dyDescent="0.25">
      <c r="A1" s="4">
        <v>2</v>
      </c>
      <c r="B1" s="4">
        <v>3</v>
      </c>
    </row>
    <row r="2" spans="1:3" x14ac:dyDescent="0.25">
      <c r="A2" s="2" t="s">
        <v>16</v>
      </c>
      <c r="B2" s="2" t="s">
        <v>14</v>
      </c>
      <c r="C2" s="2" t="s">
        <v>15</v>
      </c>
    </row>
    <row r="3" spans="1:3" ht="15.75" customHeight="1" x14ac:dyDescent="0.25">
      <c r="A3" s="1" t="s">
        <v>9</v>
      </c>
      <c r="B3" s="1" t="s">
        <v>17</v>
      </c>
      <c r="C3" s="1">
        <f>A1^B1</f>
        <v>8</v>
      </c>
    </row>
    <row r="4" spans="1:3" x14ac:dyDescent="0.25">
      <c r="A4" s="1" t="s">
        <v>10</v>
      </c>
      <c r="B4" s="1" t="s">
        <v>18</v>
      </c>
      <c r="C4" s="1">
        <f>A1*B1</f>
        <v>6</v>
      </c>
    </row>
    <row r="5" spans="1:3" x14ac:dyDescent="0.25">
      <c r="A5" s="1" t="s">
        <v>11</v>
      </c>
      <c r="B5" s="1" t="s">
        <v>19</v>
      </c>
      <c r="C5" s="3">
        <f>A1/B1</f>
        <v>0.66666666666666663</v>
      </c>
    </row>
    <row r="6" spans="1:3" x14ac:dyDescent="0.25">
      <c r="A6" s="1" t="s">
        <v>12</v>
      </c>
      <c r="B6" s="1" t="s">
        <v>20</v>
      </c>
      <c r="C6" s="1">
        <f>A1+B1</f>
        <v>5</v>
      </c>
    </row>
    <row r="7" spans="1:3" x14ac:dyDescent="0.25">
      <c r="A7" s="1" t="s">
        <v>13</v>
      </c>
      <c r="B7" s="1" t="s">
        <v>21</v>
      </c>
      <c r="C7" s="1">
        <f>A1-B1</f>
        <v>-1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5" x14ac:dyDescent="0.25"/>
  <cols>
    <col min="1" max="1" width="20.7109375" customWidth="1"/>
    <col min="2" max="2" width="10.5703125" bestFit="1" customWidth="1"/>
    <col min="3" max="3" width="10.85546875" customWidth="1"/>
    <col min="4" max="4" width="10.5703125" bestFit="1" customWidth="1"/>
  </cols>
  <sheetData>
    <row r="1" spans="1:4" ht="21" x14ac:dyDescent="0.35">
      <c r="A1" s="74" t="s">
        <v>22</v>
      </c>
      <c r="B1" s="74"/>
      <c r="C1" s="74"/>
      <c r="D1" s="74"/>
    </row>
    <row r="2" spans="1:4" ht="15.75" x14ac:dyDescent="0.25">
      <c r="A2" s="18" t="s">
        <v>23</v>
      </c>
      <c r="B2" s="18" t="s">
        <v>32</v>
      </c>
      <c r="C2" s="18" t="s">
        <v>33</v>
      </c>
      <c r="D2" s="18" t="s">
        <v>34</v>
      </c>
    </row>
    <row r="3" spans="1:4" x14ac:dyDescent="0.25">
      <c r="A3" s="14" t="s">
        <v>24</v>
      </c>
      <c r="B3" s="15">
        <v>500</v>
      </c>
      <c r="C3" s="15">
        <v>500</v>
      </c>
      <c r="D3" s="15">
        <v>500</v>
      </c>
    </row>
    <row r="4" spans="1:4" x14ac:dyDescent="0.25">
      <c r="A4" s="14" t="s">
        <v>25</v>
      </c>
      <c r="B4" s="15">
        <v>100</v>
      </c>
      <c r="C4" s="15">
        <v>120</v>
      </c>
      <c r="D4" s="16">
        <v>110</v>
      </c>
    </row>
    <row r="5" spans="1:4" x14ac:dyDescent="0.25">
      <c r="A5" s="14" t="s">
        <v>26</v>
      </c>
      <c r="B5" s="16">
        <v>30</v>
      </c>
      <c r="C5" s="15">
        <v>35</v>
      </c>
      <c r="D5" s="15">
        <v>30</v>
      </c>
    </row>
    <row r="6" spans="1:4" x14ac:dyDescent="0.25">
      <c r="A6" s="14" t="s">
        <v>27</v>
      </c>
      <c r="B6" s="15">
        <v>80</v>
      </c>
      <c r="C6" s="15">
        <v>90</v>
      </c>
      <c r="D6" s="15">
        <v>80</v>
      </c>
    </row>
    <row r="7" spans="1:4" x14ac:dyDescent="0.25">
      <c r="A7" s="14" t="s">
        <v>28</v>
      </c>
      <c r="B7" s="15">
        <v>200</v>
      </c>
      <c r="C7" s="15">
        <v>300</v>
      </c>
      <c r="D7" s="15">
        <v>250</v>
      </c>
    </row>
    <row r="8" spans="1:4" x14ac:dyDescent="0.25">
      <c r="A8" s="14" t="s">
        <v>29</v>
      </c>
      <c r="B8" s="15">
        <v>600</v>
      </c>
      <c r="C8" s="15">
        <v>600</v>
      </c>
      <c r="D8" s="15">
        <v>600</v>
      </c>
    </row>
    <row r="9" spans="1:4" x14ac:dyDescent="0.25">
      <c r="A9" s="14" t="s">
        <v>30</v>
      </c>
      <c r="B9" s="15">
        <v>200</v>
      </c>
      <c r="C9" s="15">
        <v>400</v>
      </c>
      <c r="D9" s="15">
        <v>300</v>
      </c>
    </row>
    <row r="10" spans="1:4" x14ac:dyDescent="0.25">
      <c r="A10" s="17" t="s">
        <v>31</v>
      </c>
      <c r="B10" s="5">
        <f>SUM(B3:B9)</f>
        <v>1710</v>
      </c>
      <c r="C10" s="6">
        <f>SUM(C3:C9)</f>
        <v>2045</v>
      </c>
      <c r="D10" s="5">
        <f>SUM(D3:D9)</f>
        <v>1870</v>
      </c>
    </row>
    <row r="11" spans="1:4" x14ac:dyDescent="0.25">
      <c r="A11" s="17" t="s">
        <v>35</v>
      </c>
      <c r="B11" s="5">
        <f>AVERAGE(B3:B9)</f>
        <v>244.28571428571428</v>
      </c>
      <c r="C11" s="5">
        <f>AVERAGE(C3:C9)</f>
        <v>292.14285714285717</v>
      </c>
      <c r="D11" s="5">
        <f>AVERAGE(D3:D9)</f>
        <v>267.14285714285717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B1" workbookViewId="0">
      <selection activeCell="G19" sqref="G19"/>
    </sheetView>
  </sheetViews>
  <sheetFormatPr defaultRowHeight="15" x14ac:dyDescent="0.25"/>
  <cols>
    <col min="1" max="1" width="9.140625" customWidth="1"/>
    <col min="2" max="2" width="11.5703125" customWidth="1"/>
    <col min="3" max="3" width="9.5703125" bestFit="1" customWidth="1"/>
    <col min="4" max="4" width="10.7109375" customWidth="1"/>
    <col min="5" max="5" width="18.42578125" customWidth="1"/>
    <col min="6" max="6" width="20.140625" customWidth="1"/>
    <col min="7" max="7" width="17.85546875" customWidth="1"/>
    <col min="8" max="8" width="19.42578125" customWidth="1"/>
    <col min="9" max="9" width="17.140625" customWidth="1"/>
  </cols>
  <sheetData>
    <row r="1" spans="1:9" ht="26.25" customHeight="1" x14ac:dyDescent="0.25">
      <c r="A1" s="75" t="s">
        <v>38</v>
      </c>
      <c r="B1" s="75"/>
      <c r="C1" s="75"/>
      <c r="D1" s="75"/>
      <c r="E1" s="75"/>
      <c r="F1" s="75"/>
      <c r="G1" s="75"/>
      <c r="H1" s="75"/>
      <c r="I1" s="75"/>
    </row>
    <row r="2" spans="1:9" ht="28.5" customHeight="1" x14ac:dyDescent="0.25">
      <c r="A2" s="29" t="s">
        <v>45</v>
      </c>
      <c r="B2" s="30" t="s">
        <v>43</v>
      </c>
      <c r="C2" s="30" t="s">
        <v>40</v>
      </c>
      <c r="D2" s="30" t="s">
        <v>41</v>
      </c>
      <c r="E2" s="31" t="s">
        <v>42</v>
      </c>
      <c r="F2" s="31" t="s">
        <v>48</v>
      </c>
      <c r="G2" s="30" t="s">
        <v>49</v>
      </c>
      <c r="H2" s="30" t="s">
        <v>57</v>
      </c>
      <c r="I2" s="32" t="s">
        <v>50</v>
      </c>
    </row>
    <row r="3" spans="1:9" ht="18" customHeight="1" x14ac:dyDescent="0.25">
      <c r="A3" s="26">
        <v>1001</v>
      </c>
      <c r="B3" s="11" t="s">
        <v>39</v>
      </c>
      <c r="C3" s="9">
        <v>1</v>
      </c>
      <c r="D3" s="10" t="s">
        <v>41</v>
      </c>
      <c r="E3" s="8">
        <v>1000</v>
      </c>
      <c r="F3" s="8">
        <v>600</v>
      </c>
      <c r="G3" s="8">
        <v>0</v>
      </c>
      <c r="H3" s="8">
        <v>1000</v>
      </c>
      <c r="I3" s="28">
        <v>100</v>
      </c>
    </row>
    <row r="4" spans="1:9" ht="18.75" customHeight="1" x14ac:dyDescent="0.25">
      <c r="A4" s="26">
        <v>1002</v>
      </c>
      <c r="B4" s="11" t="s">
        <v>44</v>
      </c>
      <c r="C4" s="9">
        <v>0.5</v>
      </c>
      <c r="D4" s="10" t="s">
        <v>41</v>
      </c>
      <c r="E4" s="8">
        <v>1000</v>
      </c>
      <c r="F4" s="8">
        <v>20</v>
      </c>
      <c r="G4" s="8">
        <v>0</v>
      </c>
      <c r="H4" s="8">
        <v>1000</v>
      </c>
      <c r="I4" s="28">
        <v>1000</v>
      </c>
    </row>
    <row r="5" spans="1:9" ht="17.25" customHeight="1" x14ac:dyDescent="0.25">
      <c r="A5" s="26">
        <v>1003</v>
      </c>
      <c r="B5" s="11" t="s">
        <v>46</v>
      </c>
      <c r="C5" s="9">
        <v>5</v>
      </c>
      <c r="D5" s="10" t="s">
        <v>41</v>
      </c>
      <c r="E5" s="8">
        <v>500</v>
      </c>
      <c r="F5" s="8">
        <v>46</v>
      </c>
      <c r="G5" s="8">
        <v>0</v>
      </c>
      <c r="H5" s="8">
        <v>500</v>
      </c>
      <c r="I5" s="28">
        <v>500</v>
      </c>
    </row>
    <row r="6" spans="1:9" ht="18" customHeight="1" x14ac:dyDescent="0.25">
      <c r="A6" s="26">
        <v>1004</v>
      </c>
      <c r="B6" s="11" t="s">
        <v>47</v>
      </c>
      <c r="C6" s="9">
        <v>0.25</v>
      </c>
      <c r="D6" s="10" t="s">
        <v>41</v>
      </c>
      <c r="E6" s="8">
        <v>250</v>
      </c>
      <c r="F6" s="8">
        <v>59</v>
      </c>
      <c r="G6" s="8">
        <v>0</v>
      </c>
      <c r="H6" s="8">
        <v>250</v>
      </c>
      <c r="I6" s="28">
        <v>250</v>
      </c>
    </row>
    <row r="7" spans="1:9" x14ac:dyDescent="0.25">
      <c r="A7" s="27">
        <v>1005</v>
      </c>
      <c r="B7" s="11" t="s">
        <v>51</v>
      </c>
      <c r="C7" s="7">
        <v>2</v>
      </c>
      <c r="D7" s="10" t="s">
        <v>41</v>
      </c>
      <c r="E7" s="8">
        <v>300</v>
      </c>
      <c r="F7" s="8">
        <v>40</v>
      </c>
      <c r="G7" s="8">
        <v>0</v>
      </c>
      <c r="H7" s="8">
        <v>300</v>
      </c>
      <c r="I7" s="28">
        <v>300</v>
      </c>
    </row>
    <row r="8" spans="1:9" x14ac:dyDescent="0.25">
      <c r="A8" s="26">
        <v>1006</v>
      </c>
      <c r="B8" s="11" t="s">
        <v>52</v>
      </c>
      <c r="C8" s="7">
        <v>4</v>
      </c>
      <c r="D8" s="10" t="s">
        <v>41</v>
      </c>
      <c r="E8" s="8">
        <v>400</v>
      </c>
      <c r="F8" s="8">
        <v>90</v>
      </c>
      <c r="G8" s="8">
        <v>0</v>
      </c>
      <c r="H8" s="8">
        <v>400</v>
      </c>
      <c r="I8" s="28">
        <v>400</v>
      </c>
    </row>
    <row r="9" spans="1:9" x14ac:dyDescent="0.25">
      <c r="A9" s="26">
        <v>1007</v>
      </c>
      <c r="B9" s="11" t="s">
        <v>53</v>
      </c>
      <c r="C9" s="7">
        <v>0.8</v>
      </c>
      <c r="D9" s="10" t="s">
        <v>41</v>
      </c>
      <c r="E9" s="8">
        <v>650</v>
      </c>
      <c r="F9" s="8">
        <v>50</v>
      </c>
      <c r="G9" s="8">
        <v>0</v>
      </c>
      <c r="H9" s="8">
        <v>650</v>
      </c>
      <c r="I9" s="28">
        <v>650</v>
      </c>
    </row>
    <row r="10" spans="1:9" x14ac:dyDescent="0.25">
      <c r="A10" s="26">
        <v>1008</v>
      </c>
      <c r="B10" s="11" t="s">
        <v>54</v>
      </c>
      <c r="C10" s="7">
        <v>60</v>
      </c>
      <c r="D10" s="10" t="s">
        <v>41</v>
      </c>
      <c r="E10" s="8">
        <v>200</v>
      </c>
      <c r="F10" s="8">
        <v>5</v>
      </c>
      <c r="G10" s="8">
        <v>0</v>
      </c>
      <c r="H10" s="8">
        <v>200</v>
      </c>
      <c r="I10" s="28">
        <v>200</v>
      </c>
    </row>
    <row r="11" spans="1:9" x14ac:dyDescent="0.25">
      <c r="A11" s="33">
        <v>1009</v>
      </c>
      <c r="B11" s="34" t="s">
        <v>55</v>
      </c>
      <c r="C11" s="35">
        <v>3</v>
      </c>
      <c r="D11" s="36" t="s">
        <v>41</v>
      </c>
      <c r="E11" s="37">
        <v>150</v>
      </c>
      <c r="F11" s="37">
        <v>80</v>
      </c>
      <c r="G11" s="37">
        <v>0</v>
      </c>
      <c r="H11" s="37">
        <v>150</v>
      </c>
      <c r="I11" s="38">
        <v>150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2.5703125" bestFit="1" customWidth="1"/>
    <col min="2" max="2" width="19.85546875" bestFit="1" customWidth="1"/>
    <col min="3" max="3" width="15.42578125" customWidth="1"/>
    <col min="4" max="4" width="13.5703125" customWidth="1"/>
    <col min="5" max="5" width="15" customWidth="1"/>
  </cols>
  <sheetData>
    <row r="1" spans="1:5" ht="15.75" x14ac:dyDescent="0.25">
      <c r="A1" s="76" t="s">
        <v>58</v>
      </c>
      <c r="B1" s="76"/>
      <c r="C1" s="76"/>
      <c r="D1" s="76"/>
      <c r="E1" s="76"/>
    </row>
    <row r="2" spans="1:5" x14ac:dyDescent="0.25">
      <c r="A2" s="45" t="s">
        <v>59</v>
      </c>
      <c r="B2" s="45" t="s">
        <v>43</v>
      </c>
      <c r="C2" s="45" t="s">
        <v>60</v>
      </c>
      <c r="D2" s="45" t="s">
        <v>61</v>
      </c>
      <c r="E2" s="45" t="s">
        <v>62</v>
      </c>
    </row>
    <row r="3" spans="1:5" x14ac:dyDescent="0.25">
      <c r="A3" t="s">
        <v>63</v>
      </c>
      <c r="B3" t="s">
        <v>68</v>
      </c>
      <c r="C3" s="44">
        <v>500</v>
      </c>
      <c r="D3" s="47">
        <v>4</v>
      </c>
      <c r="E3" s="44">
        <f>Tabela5[[#This Row],[Valor Unitário]]*Tabela5[[#This Row],[Quantidade]]</f>
        <v>2000</v>
      </c>
    </row>
    <row r="4" spans="1:5" x14ac:dyDescent="0.25">
      <c r="A4" t="s">
        <v>24</v>
      </c>
      <c r="B4" t="s">
        <v>111</v>
      </c>
      <c r="C4" s="80">
        <v>150</v>
      </c>
      <c r="D4" s="47" t="s">
        <v>172</v>
      </c>
      <c r="E4" s="80">
        <f>Tabela5[[#This Row],[Valor Unitário]]*5</f>
        <v>750</v>
      </c>
    </row>
    <row r="5" spans="1:5" x14ac:dyDescent="0.25">
      <c r="A5" t="s">
        <v>64</v>
      </c>
      <c r="B5" t="s">
        <v>69</v>
      </c>
      <c r="C5" s="44">
        <v>100</v>
      </c>
      <c r="D5" t="s">
        <v>72</v>
      </c>
      <c r="E5" s="44">
        <v>500</v>
      </c>
    </row>
    <row r="6" spans="1:5" x14ac:dyDescent="0.25">
      <c r="A6" t="s">
        <v>65</v>
      </c>
      <c r="B6" t="s">
        <v>70</v>
      </c>
      <c r="C6" s="44">
        <v>50</v>
      </c>
      <c r="D6" t="s">
        <v>73</v>
      </c>
      <c r="E6" s="44">
        <v>500</v>
      </c>
    </row>
    <row r="7" spans="1:5" x14ac:dyDescent="0.25">
      <c r="A7" t="s">
        <v>75</v>
      </c>
      <c r="B7" t="s">
        <v>76</v>
      </c>
      <c r="C7" s="44">
        <v>60</v>
      </c>
      <c r="D7" t="s">
        <v>77</v>
      </c>
      <c r="E7" s="44">
        <v>360</v>
      </c>
    </row>
    <row r="8" spans="1:5" x14ac:dyDescent="0.25">
      <c r="A8" t="s">
        <v>109</v>
      </c>
      <c r="B8" t="s">
        <v>110</v>
      </c>
      <c r="C8" s="80">
        <v>40</v>
      </c>
      <c r="D8" s="47">
        <v>4</v>
      </c>
      <c r="E8" s="80">
        <f>Tabela5[[#This Row],[Valor Unitário]]*Tabela5[[#This Row],[Quantidade]]</f>
        <v>160</v>
      </c>
    </row>
    <row r="9" spans="1:5" x14ac:dyDescent="0.25">
      <c r="A9" t="s">
        <v>66</v>
      </c>
      <c r="B9" t="s">
        <v>71</v>
      </c>
      <c r="C9" s="44">
        <v>100</v>
      </c>
      <c r="D9" t="s">
        <v>74</v>
      </c>
      <c r="E9" s="44">
        <v>200</v>
      </c>
    </row>
    <row r="10" spans="1:5" x14ac:dyDescent="0.25">
      <c r="A10" t="s">
        <v>107</v>
      </c>
      <c r="B10" t="s">
        <v>108</v>
      </c>
      <c r="C10" s="80">
        <v>95</v>
      </c>
      <c r="D10" s="47">
        <v>3</v>
      </c>
      <c r="E10" s="80">
        <f>Tabela5[[#This Row],[Valor Unitário]]*Tabela5[[#This Row],[Quantidade]]</f>
        <v>285</v>
      </c>
    </row>
    <row r="11" spans="1:5" x14ac:dyDescent="0.25">
      <c r="A11" s="46" t="s">
        <v>31</v>
      </c>
      <c r="B11" s="46"/>
      <c r="C11" s="46"/>
      <c r="D11" s="46"/>
      <c r="E11" s="81">
        <f>SUM(E3:E10)</f>
        <v>4755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Normal="100" workbookViewId="0">
      <selection activeCell="M11" sqref="M11"/>
    </sheetView>
  </sheetViews>
  <sheetFormatPr defaultRowHeight="15" x14ac:dyDescent="0.25"/>
  <cols>
    <col min="1" max="1" width="9.140625" style="48"/>
    <col min="2" max="2" width="10.7109375" customWidth="1"/>
    <col min="3" max="3" width="6.28515625" bestFit="1" customWidth="1"/>
    <col min="4" max="4" width="11.5703125" bestFit="1" customWidth="1"/>
    <col min="5" max="5" width="6" style="48" bestFit="1" customWidth="1"/>
    <col min="6" max="6" width="12.7109375" style="43" customWidth="1"/>
    <col min="7" max="7" width="9.5703125" bestFit="1" customWidth="1"/>
    <col min="8" max="8" width="10.5703125" bestFit="1" customWidth="1"/>
    <col min="9" max="9" width="11.28515625" bestFit="1" customWidth="1"/>
    <col min="10" max="10" width="13.28515625" customWidth="1"/>
  </cols>
  <sheetData>
    <row r="1" spans="1:10" ht="18.75" x14ac:dyDescent="0.25">
      <c r="A1" s="77" t="s">
        <v>93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ht="45.75" customHeight="1" x14ac:dyDescent="0.25">
      <c r="A2" s="58" t="s">
        <v>78</v>
      </c>
      <c r="B2" s="58" t="s">
        <v>79</v>
      </c>
      <c r="C2" s="58" t="s">
        <v>80</v>
      </c>
      <c r="D2" s="58" t="s">
        <v>85</v>
      </c>
      <c r="E2" s="58" t="s">
        <v>86</v>
      </c>
      <c r="F2" s="59" t="s">
        <v>90</v>
      </c>
      <c r="G2" s="60" t="s">
        <v>91</v>
      </c>
      <c r="H2" s="60" t="s">
        <v>92</v>
      </c>
      <c r="I2" s="61" t="s">
        <v>94</v>
      </c>
      <c r="J2" s="69" t="s">
        <v>106</v>
      </c>
    </row>
    <row r="3" spans="1:10" x14ac:dyDescent="0.25">
      <c r="A3" s="49">
        <v>13456</v>
      </c>
      <c r="B3" s="54">
        <v>45161</v>
      </c>
      <c r="C3" s="14" t="s">
        <v>81</v>
      </c>
      <c r="D3" s="14" t="s">
        <v>88</v>
      </c>
      <c r="E3" s="55">
        <v>22</v>
      </c>
      <c r="F3" s="56">
        <v>150</v>
      </c>
      <c r="G3" s="72">
        <f>F3*$J$3</f>
        <v>7.5</v>
      </c>
      <c r="H3" s="62">
        <v>140</v>
      </c>
      <c r="I3" s="70">
        <f>G3/F3</f>
        <v>0.05</v>
      </c>
      <c r="J3" s="71">
        <v>0.05</v>
      </c>
    </row>
    <row r="4" spans="1:10" x14ac:dyDescent="0.25">
      <c r="A4" s="49">
        <v>13654</v>
      </c>
      <c r="B4" s="54">
        <v>45144</v>
      </c>
      <c r="C4" s="14" t="s">
        <v>82</v>
      </c>
      <c r="D4" s="14" t="s">
        <v>87</v>
      </c>
      <c r="E4" s="55">
        <v>18</v>
      </c>
      <c r="F4" s="56">
        <v>150</v>
      </c>
      <c r="G4" s="72">
        <f t="shared" ref="G4:G6" si="0">F4*$J$3</f>
        <v>7.5</v>
      </c>
      <c r="H4" s="62">
        <f>F4-G4</f>
        <v>142.5</v>
      </c>
      <c r="I4" s="70">
        <f t="shared" ref="I4:I6" si="1">G4/F4</f>
        <v>0.05</v>
      </c>
    </row>
    <row r="5" spans="1:10" x14ac:dyDescent="0.25">
      <c r="A5" s="49">
        <v>13256</v>
      </c>
      <c r="B5" s="54">
        <v>45126</v>
      </c>
      <c r="C5" s="14" t="s">
        <v>83</v>
      </c>
      <c r="D5" s="14" t="s">
        <v>89</v>
      </c>
      <c r="E5" s="55">
        <v>26</v>
      </c>
      <c r="F5" s="56">
        <v>200</v>
      </c>
      <c r="G5" s="72">
        <f t="shared" si="0"/>
        <v>10</v>
      </c>
      <c r="H5" s="62">
        <f>F5-G5</f>
        <v>190</v>
      </c>
      <c r="I5" s="70">
        <f t="shared" si="1"/>
        <v>0.05</v>
      </c>
    </row>
    <row r="6" spans="1:10" x14ac:dyDescent="0.25">
      <c r="A6" s="49">
        <v>13965</v>
      </c>
      <c r="B6" s="54">
        <v>45027</v>
      </c>
      <c r="C6" s="14" t="s">
        <v>84</v>
      </c>
      <c r="D6" s="14" t="s">
        <v>89</v>
      </c>
      <c r="E6" s="55">
        <v>20</v>
      </c>
      <c r="F6" s="56">
        <v>200</v>
      </c>
      <c r="G6" s="72">
        <f t="shared" si="0"/>
        <v>10</v>
      </c>
      <c r="H6" s="62">
        <f>F6-G6</f>
        <v>190</v>
      </c>
      <c r="I6" s="70">
        <f t="shared" si="1"/>
        <v>0.05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Normal="100" workbookViewId="0">
      <selection activeCell="G2" sqref="G2"/>
    </sheetView>
  </sheetViews>
  <sheetFormatPr defaultRowHeight="15" x14ac:dyDescent="0.25"/>
  <cols>
    <col min="1" max="1" width="9.28515625" customWidth="1"/>
    <col min="2" max="2" width="10" customWidth="1"/>
    <col min="3" max="3" width="12.140625" customWidth="1"/>
    <col min="5" max="5" width="11.140625" customWidth="1"/>
    <col min="6" max="6" width="9" customWidth="1"/>
  </cols>
  <sheetData>
    <row r="1" spans="1:7" ht="21" x14ac:dyDescent="0.35">
      <c r="A1" s="79" t="s">
        <v>105</v>
      </c>
      <c r="B1" s="79"/>
      <c r="C1" s="79"/>
      <c r="D1" s="79"/>
      <c r="E1" s="79"/>
      <c r="F1" s="79"/>
      <c r="G1" s="79"/>
    </row>
    <row r="2" spans="1:7" ht="52.5" x14ac:dyDescent="0.25">
      <c r="A2" s="65" t="s">
        <v>99</v>
      </c>
      <c r="B2" s="66" t="s">
        <v>103</v>
      </c>
      <c r="C2" s="66" t="s">
        <v>100</v>
      </c>
      <c r="D2" s="66" t="s">
        <v>101</v>
      </c>
      <c r="E2" s="66" t="s">
        <v>102</v>
      </c>
      <c r="F2" s="66" t="s">
        <v>104</v>
      </c>
      <c r="G2" s="67" t="s">
        <v>35</v>
      </c>
    </row>
    <row r="3" spans="1:7" x14ac:dyDescent="0.25">
      <c r="A3" s="63" t="s">
        <v>97</v>
      </c>
      <c r="B3" s="51">
        <v>2</v>
      </c>
      <c r="C3" s="51">
        <v>10</v>
      </c>
      <c r="D3" s="51">
        <v>9</v>
      </c>
      <c r="E3" s="51">
        <v>10</v>
      </c>
      <c r="F3" s="51">
        <v>1</v>
      </c>
      <c r="G3" s="64">
        <f t="shared" ref="G3:G8" si="0">AVERAGE(B3:E3)</f>
        <v>7.75</v>
      </c>
    </row>
    <row r="4" spans="1:7" x14ac:dyDescent="0.25">
      <c r="A4" s="63" t="s">
        <v>7</v>
      </c>
      <c r="B4" s="51">
        <v>10</v>
      </c>
      <c r="C4" s="51">
        <v>10</v>
      </c>
      <c r="D4" s="51">
        <v>8</v>
      </c>
      <c r="E4" s="51">
        <v>9</v>
      </c>
      <c r="F4" s="51">
        <v>3</v>
      </c>
      <c r="G4" s="64">
        <f t="shared" si="0"/>
        <v>9.25</v>
      </c>
    </row>
    <row r="5" spans="1:7" x14ac:dyDescent="0.25">
      <c r="A5" s="63" t="s">
        <v>98</v>
      </c>
      <c r="B5" s="51">
        <v>9</v>
      </c>
      <c r="C5" s="51">
        <v>6</v>
      </c>
      <c r="D5" s="51">
        <v>10</v>
      </c>
      <c r="E5" s="51">
        <v>9</v>
      </c>
      <c r="F5" s="51">
        <v>0</v>
      </c>
      <c r="G5" s="64">
        <f t="shared" si="0"/>
        <v>8.5</v>
      </c>
    </row>
    <row r="6" spans="1:7" x14ac:dyDescent="0.25">
      <c r="A6" s="63" t="s">
        <v>95</v>
      </c>
      <c r="B6" s="51">
        <v>4</v>
      </c>
      <c r="C6" s="51">
        <v>10</v>
      </c>
      <c r="D6" s="51">
        <v>9</v>
      </c>
      <c r="E6" s="51">
        <v>3.5</v>
      </c>
      <c r="F6" s="51">
        <v>0</v>
      </c>
      <c r="G6" s="64">
        <f t="shared" si="0"/>
        <v>6.625</v>
      </c>
    </row>
    <row r="7" spans="1:7" x14ac:dyDescent="0.25">
      <c r="A7" s="63" t="s">
        <v>8</v>
      </c>
      <c r="B7" s="51">
        <v>7</v>
      </c>
      <c r="C7" s="51">
        <v>8.5</v>
      </c>
      <c r="D7" s="51">
        <v>9</v>
      </c>
      <c r="E7" s="51">
        <v>10</v>
      </c>
      <c r="F7" s="51">
        <v>1</v>
      </c>
      <c r="G7" s="64">
        <f t="shared" si="0"/>
        <v>8.625</v>
      </c>
    </row>
    <row r="8" spans="1:7" x14ac:dyDescent="0.25">
      <c r="A8" s="63" t="s">
        <v>96</v>
      </c>
      <c r="B8" s="51">
        <v>9</v>
      </c>
      <c r="C8" s="51">
        <v>8</v>
      </c>
      <c r="D8" s="51">
        <v>4</v>
      </c>
      <c r="E8" s="51">
        <v>10</v>
      </c>
      <c r="F8" s="51">
        <v>2</v>
      </c>
      <c r="G8" s="64">
        <f t="shared" si="0"/>
        <v>7.75</v>
      </c>
    </row>
    <row r="9" spans="1:7" x14ac:dyDescent="0.25">
      <c r="A9" s="68" t="s">
        <v>31</v>
      </c>
      <c r="B9" s="53"/>
      <c r="C9" s="53"/>
      <c r="D9" s="53"/>
      <c r="E9" s="53"/>
      <c r="F9" s="53"/>
      <c r="G9" s="42"/>
    </row>
  </sheetData>
  <mergeCells count="1">
    <mergeCell ref="A1:G1"/>
  </mergeCells>
  <conditionalFormatting sqref="G2:G8">
    <cfRule type="cellIs" dxfId="1" priority="3" operator="lessThan">
      <formula>7</formula>
    </cfRule>
  </conditionalFormatting>
  <conditionalFormatting sqref="B3:E8">
    <cfRule type="cellIs" dxfId="0" priority="2" operator="lessThan">
      <formula>7</formula>
    </cfRule>
  </conditionalFormatting>
  <conditionalFormatting sqref="G3:G8">
    <cfRule type="iconSet" priority="1">
      <iconSet iconSet="3Symbols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topLeftCell="A23" workbookViewId="0">
      <selection activeCell="E71" sqref="E71"/>
    </sheetView>
  </sheetViews>
  <sheetFormatPr defaultRowHeight="15" x14ac:dyDescent="0.25"/>
  <cols>
    <col min="1" max="1" width="20.42578125" bestFit="1" customWidth="1"/>
    <col min="2" max="2" width="20" customWidth="1"/>
    <col min="3" max="3" width="15.28515625" customWidth="1"/>
    <col min="4" max="4" width="24.28515625" bestFit="1" customWidth="1"/>
    <col min="5" max="5" width="13.5703125" bestFit="1" customWidth="1"/>
    <col min="6" max="6" width="12.140625" bestFit="1" customWidth="1"/>
  </cols>
  <sheetData>
    <row r="1" spans="1:7" ht="23.25" x14ac:dyDescent="0.35">
      <c r="A1" s="96" t="s">
        <v>112</v>
      </c>
      <c r="B1" s="96"/>
      <c r="C1" s="96"/>
      <c r="D1" s="96"/>
      <c r="E1" s="96"/>
      <c r="F1" s="96"/>
      <c r="G1" s="96"/>
    </row>
    <row r="3" spans="1:7" ht="18.75" x14ac:dyDescent="0.3">
      <c r="A3" s="84" t="s">
        <v>113</v>
      </c>
      <c r="B3" s="84"/>
      <c r="C3" s="84"/>
      <c r="D3" s="84"/>
    </row>
    <row r="4" spans="1:7" x14ac:dyDescent="0.25">
      <c r="A4" s="82" t="s">
        <v>114</v>
      </c>
      <c r="B4" s="82" t="s">
        <v>115</v>
      </c>
      <c r="C4" s="82" t="s">
        <v>25</v>
      </c>
      <c r="D4" s="82" t="s">
        <v>116</v>
      </c>
    </row>
    <row r="5" spans="1:7" ht="20.100000000000001" customHeight="1" x14ac:dyDescent="0.25">
      <c r="A5" s="89" t="s">
        <v>125</v>
      </c>
      <c r="B5" s="87" t="s">
        <v>126</v>
      </c>
      <c r="C5" s="87" t="s">
        <v>136</v>
      </c>
      <c r="D5" s="88" t="s">
        <v>148</v>
      </c>
    </row>
    <row r="6" spans="1:7" ht="20.100000000000001" customHeight="1" x14ac:dyDescent="0.25">
      <c r="A6" s="89" t="s">
        <v>159</v>
      </c>
      <c r="B6" s="87" t="s">
        <v>127</v>
      </c>
      <c r="C6" s="87" t="s">
        <v>137</v>
      </c>
      <c r="D6" s="88" t="s">
        <v>158</v>
      </c>
    </row>
    <row r="7" spans="1:7" ht="20.100000000000001" customHeight="1" x14ac:dyDescent="0.25">
      <c r="A7" s="89" t="s">
        <v>117</v>
      </c>
      <c r="B7" s="87" t="s">
        <v>128</v>
      </c>
      <c r="C7" s="87" t="s">
        <v>138</v>
      </c>
      <c r="D7" s="88" t="s">
        <v>149</v>
      </c>
    </row>
    <row r="8" spans="1:7" ht="20.100000000000001" customHeight="1" x14ac:dyDescent="0.25">
      <c r="A8" s="89" t="s">
        <v>118</v>
      </c>
      <c r="B8" s="87" t="s">
        <v>128</v>
      </c>
      <c r="C8" s="87" t="s">
        <v>139</v>
      </c>
      <c r="D8" s="88" t="s">
        <v>149</v>
      </c>
    </row>
    <row r="9" spans="1:7" ht="20.100000000000001" customHeight="1" x14ac:dyDescent="0.25">
      <c r="A9" s="89" t="s">
        <v>134</v>
      </c>
      <c r="B9" s="87" t="s">
        <v>135</v>
      </c>
      <c r="C9" s="87" t="s">
        <v>140</v>
      </c>
      <c r="D9" s="88" t="s">
        <v>150</v>
      </c>
    </row>
    <row r="10" spans="1:7" ht="20.100000000000001" customHeight="1" x14ac:dyDescent="0.25">
      <c r="A10" s="89" t="s">
        <v>119</v>
      </c>
      <c r="B10" s="87" t="s">
        <v>119</v>
      </c>
      <c r="C10" s="87" t="s">
        <v>141</v>
      </c>
      <c r="D10" s="88" t="s">
        <v>151</v>
      </c>
    </row>
    <row r="11" spans="1:7" ht="20.100000000000001" customHeight="1" x14ac:dyDescent="0.25">
      <c r="A11" s="89" t="s">
        <v>120</v>
      </c>
      <c r="B11" s="87" t="s">
        <v>120</v>
      </c>
      <c r="C11" s="87" t="s">
        <v>142</v>
      </c>
      <c r="D11" s="88" t="s">
        <v>152</v>
      </c>
    </row>
    <row r="12" spans="1:7" ht="20.100000000000001" customHeight="1" x14ac:dyDescent="0.25">
      <c r="A12" s="89" t="s">
        <v>121</v>
      </c>
      <c r="B12" s="87" t="s">
        <v>129</v>
      </c>
      <c r="C12" s="87" t="s">
        <v>143</v>
      </c>
      <c r="D12" s="88" t="s">
        <v>153</v>
      </c>
    </row>
    <row r="13" spans="1:7" ht="20.100000000000001" customHeight="1" x14ac:dyDescent="0.25">
      <c r="A13" s="89" t="s">
        <v>122</v>
      </c>
      <c r="B13" s="87" t="s">
        <v>130</v>
      </c>
      <c r="C13" s="87" t="s">
        <v>144</v>
      </c>
      <c r="D13" s="88" t="s">
        <v>154</v>
      </c>
    </row>
    <row r="14" spans="1:7" ht="20.100000000000001" customHeight="1" x14ac:dyDescent="0.25">
      <c r="A14" s="89" t="s">
        <v>123</v>
      </c>
      <c r="B14" s="87" t="s">
        <v>131</v>
      </c>
      <c r="C14" s="87" t="s">
        <v>145</v>
      </c>
      <c r="D14" s="88" t="s">
        <v>155</v>
      </c>
    </row>
    <row r="15" spans="1:7" ht="20.100000000000001" customHeight="1" x14ac:dyDescent="0.25">
      <c r="A15" s="89" t="s">
        <v>124</v>
      </c>
      <c r="B15" s="87" t="s">
        <v>132</v>
      </c>
      <c r="C15" s="87" t="s">
        <v>146</v>
      </c>
      <c r="D15" s="88" t="s">
        <v>156</v>
      </c>
    </row>
    <row r="16" spans="1:7" ht="20.100000000000001" customHeight="1" x14ac:dyDescent="0.25">
      <c r="A16" s="89" t="s">
        <v>133</v>
      </c>
      <c r="B16" s="87" t="s">
        <v>133</v>
      </c>
      <c r="C16" s="87" t="s">
        <v>147</v>
      </c>
      <c r="D16" s="88" t="s">
        <v>157</v>
      </c>
    </row>
    <row r="17" spans="1:4" x14ac:dyDescent="0.25">
      <c r="A17" s="89" t="s">
        <v>173</v>
      </c>
      <c r="B17" s="87" t="s">
        <v>173</v>
      </c>
      <c r="C17" s="87" t="s">
        <v>174</v>
      </c>
      <c r="D17" s="88" t="s">
        <v>175</v>
      </c>
    </row>
    <row r="18" spans="1:4" x14ac:dyDescent="0.25">
      <c r="A18" s="89" t="s">
        <v>176</v>
      </c>
      <c r="B18" s="87" t="s">
        <v>177</v>
      </c>
      <c r="C18" s="87"/>
      <c r="D18" s="88" t="s">
        <v>178</v>
      </c>
    </row>
    <row r="22" spans="1:4" ht="18.75" x14ac:dyDescent="0.25">
      <c r="A22" s="94" t="s">
        <v>162</v>
      </c>
      <c r="B22" s="95"/>
    </row>
    <row r="23" spans="1:4" ht="15.75" x14ac:dyDescent="0.25">
      <c r="A23" s="93" t="s">
        <v>169</v>
      </c>
      <c r="B23" s="93" t="s">
        <v>170</v>
      </c>
    </row>
    <row r="24" spans="1:4" ht="20.100000000000001" customHeight="1" x14ac:dyDescent="0.25">
      <c r="A24" s="89" t="s">
        <v>160</v>
      </c>
      <c r="B24" s="90">
        <v>10000</v>
      </c>
    </row>
    <row r="25" spans="1:4" ht="20.100000000000001" customHeight="1" x14ac:dyDescent="0.25">
      <c r="A25" s="89" t="s">
        <v>161</v>
      </c>
      <c r="B25" s="90">
        <v>5000</v>
      </c>
    </row>
    <row r="26" spans="1:4" ht="20.100000000000001" customHeight="1" x14ac:dyDescent="0.25">
      <c r="A26" s="89" t="s">
        <v>163</v>
      </c>
      <c r="B26" s="90">
        <v>4000</v>
      </c>
    </row>
    <row r="27" spans="1:4" ht="20.100000000000001" customHeight="1" x14ac:dyDescent="0.25">
      <c r="A27" s="89" t="s">
        <v>164</v>
      </c>
      <c r="B27" s="90">
        <v>1600</v>
      </c>
    </row>
    <row r="28" spans="1:4" ht="20.100000000000001" customHeight="1" x14ac:dyDescent="0.25">
      <c r="A28" s="89" t="s">
        <v>165</v>
      </c>
      <c r="B28" s="90">
        <v>650</v>
      </c>
    </row>
    <row r="29" spans="1:4" ht="20.100000000000001" customHeight="1" x14ac:dyDescent="0.25">
      <c r="A29" s="89" t="s">
        <v>166</v>
      </c>
      <c r="B29" s="90">
        <v>1200</v>
      </c>
    </row>
    <row r="30" spans="1:4" ht="20.100000000000001" customHeight="1" x14ac:dyDescent="0.25">
      <c r="A30" s="89" t="s">
        <v>167</v>
      </c>
      <c r="B30" s="90">
        <v>950</v>
      </c>
    </row>
    <row r="31" spans="1:4" ht="20.100000000000001" customHeight="1" x14ac:dyDescent="0.25">
      <c r="A31" s="89" t="s">
        <v>168</v>
      </c>
      <c r="B31" s="90">
        <v>3000</v>
      </c>
    </row>
    <row r="32" spans="1:4" ht="20.100000000000001" customHeight="1" x14ac:dyDescent="0.25">
      <c r="A32" s="89" t="s">
        <v>171</v>
      </c>
      <c r="B32" s="90">
        <v>2000</v>
      </c>
    </row>
    <row r="33" spans="1:3" ht="20.100000000000001" customHeight="1" x14ac:dyDescent="0.25">
      <c r="A33" s="106" t="s">
        <v>67</v>
      </c>
      <c r="B33" s="108">
        <f>SUM(B24:B32)</f>
        <v>28400</v>
      </c>
    </row>
    <row r="37" spans="1:3" ht="18.75" x14ac:dyDescent="0.3">
      <c r="A37" s="97" t="s">
        <v>179</v>
      </c>
      <c r="B37" s="97"/>
      <c r="C37" s="97"/>
    </row>
    <row r="38" spans="1:3" ht="15.75" x14ac:dyDescent="0.25">
      <c r="A38" s="101" t="s">
        <v>169</v>
      </c>
      <c r="B38" s="101" t="s">
        <v>79</v>
      </c>
      <c r="C38" s="101" t="s">
        <v>180</v>
      </c>
    </row>
    <row r="39" spans="1:3" ht="20.100000000000001" customHeight="1" x14ac:dyDescent="0.25">
      <c r="A39" s="98" t="s">
        <v>181</v>
      </c>
      <c r="B39" s="86" t="s">
        <v>193</v>
      </c>
      <c r="C39" s="86"/>
    </row>
    <row r="40" spans="1:3" ht="20.100000000000001" customHeight="1" x14ac:dyDescent="0.25">
      <c r="A40" s="98" t="s">
        <v>182</v>
      </c>
      <c r="B40" s="86" t="s">
        <v>194</v>
      </c>
      <c r="C40" s="86"/>
    </row>
    <row r="41" spans="1:3" ht="20.100000000000001" customHeight="1" x14ac:dyDescent="0.25">
      <c r="A41" s="98" t="s">
        <v>183</v>
      </c>
      <c r="B41" s="86" t="s">
        <v>195</v>
      </c>
      <c r="C41" s="86"/>
    </row>
    <row r="42" spans="1:3" ht="20.100000000000001" customHeight="1" x14ac:dyDescent="0.25">
      <c r="A42" s="98" t="s">
        <v>184</v>
      </c>
      <c r="B42" s="86" t="s">
        <v>196</v>
      </c>
      <c r="C42" s="86"/>
    </row>
    <row r="43" spans="1:3" ht="20.100000000000001" customHeight="1" x14ac:dyDescent="0.25">
      <c r="A43" s="98" t="s">
        <v>185</v>
      </c>
      <c r="B43" s="86" t="s">
        <v>196</v>
      </c>
      <c r="C43" s="86"/>
    </row>
    <row r="44" spans="1:3" ht="20.100000000000001" customHeight="1" x14ac:dyDescent="0.25">
      <c r="A44" s="98" t="s">
        <v>186</v>
      </c>
      <c r="B44" s="86" t="s">
        <v>197</v>
      </c>
      <c r="C44" s="86"/>
    </row>
    <row r="45" spans="1:3" ht="20.100000000000001" customHeight="1" x14ac:dyDescent="0.25">
      <c r="A45" s="98" t="s">
        <v>189</v>
      </c>
      <c r="B45" s="86" t="s">
        <v>198</v>
      </c>
      <c r="C45" s="99">
        <v>0.54166666666666663</v>
      </c>
    </row>
    <row r="46" spans="1:3" ht="20.100000000000001" customHeight="1" x14ac:dyDescent="0.25">
      <c r="A46" s="98" t="s">
        <v>190</v>
      </c>
      <c r="B46" s="86" t="s">
        <v>198</v>
      </c>
      <c r="C46" s="99">
        <v>0.83333333333333337</v>
      </c>
    </row>
    <row r="47" spans="1:3" ht="20.100000000000001" customHeight="1" x14ac:dyDescent="0.25">
      <c r="A47" s="98" t="s">
        <v>191</v>
      </c>
      <c r="B47" s="86" t="s">
        <v>198</v>
      </c>
      <c r="C47" s="99">
        <v>0.875</v>
      </c>
    </row>
    <row r="48" spans="1:3" ht="20.100000000000001" customHeight="1" x14ac:dyDescent="0.25">
      <c r="A48" s="98" t="s">
        <v>192</v>
      </c>
      <c r="B48" s="86" t="s">
        <v>198</v>
      </c>
      <c r="C48" s="99">
        <v>0.91666666666666663</v>
      </c>
    </row>
    <row r="49" spans="1:5" ht="20.100000000000001" customHeight="1" x14ac:dyDescent="0.25">
      <c r="A49" s="98" t="s">
        <v>187</v>
      </c>
      <c r="B49" s="86" t="s">
        <v>198</v>
      </c>
      <c r="C49" s="99">
        <v>0.91666666666666663</v>
      </c>
    </row>
    <row r="50" spans="1:5" ht="20.100000000000001" customHeight="1" x14ac:dyDescent="0.25">
      <c r="A50" s="98" t="s">
        <v>188</v>
      </c>
      <c r="B50" s="100">
        <v>45284</v>
      </c>
      <c r="C50" s="99">
        <v>0.16666666666666666</v>
      </c>
    </row>
    <row r="54" spans="1:5" ht="18.75" x14ac:dyDescent="0.3">
      <c r="A54" s="97" t="s">
        <v>199</v>
      </c>
      <c r="B54" s="97"/>
      <c r="C54" s="97"/>
      <c r="D54" s="97"/>
      <c r="E54" s="97"/>
    </row>
    <row r="55" spans="1:5" ht="15.75" x14ac:dyDescent="0.25">
      <c r="A55" s="101" t="s">
        <v>59</v>
      </c>
      <c r="B55" s="101" t="s">
        <v>43</v>
      </c>
      <c r="C55" s="101" t="s">
        <v>200</v>
      </c>
      <c r="D55" s="101" t="s">
        <v>61</v>
      </c>
      <c r="E55" s="101" t="s">
        <v>201</v>
      </c>
    </row>
    <row r="56" spans="1:5" ht="20.100000000000001" customHeight="1" x14ac:dyDescent="0.25">
      <c r="A56" s="85" t="s">
        <v>64</v>
      </c>
      <c r="B56" s="86" t="s">
        <v>69</v>
      </c>
      <c r="C56" s="102">
        <v>90</v>
      </c>
      <c r="D56" s="86">
        <v>5</v>
      </c>
      <c r="E56" s="103">
        <f>C56*D56</f>
        <v>450</v>
      </c>
    </row>
    <row r="57" spans="1:5" ht="20.100000000000001" customHeight="1" x14ac:dyDescent="0.25">
      <c r="A57" s="85" t="s">
        <v>65</v>
      </c>
      <c r="B57" s="86" t="s">
        <v>70</v>
      </c>
      <c r="C57" s="102">
        <v>60</v>
      </c>
      <c r="D57" s="86">
        <v>15</v>
      </c>
      <c r="E57" s="103">
        <f t="shared" ref="E57:E61" si="0">C57*D57</f>
        <v>900</v>
      </c>
    </row>
    <row r="58" spans="1:5" ht="20.100000000000001" customHeight="1" x14ac:dyDescent="0.25">
      <c r="A58" s="85" t="s">
        <v>66</v>
      </c>
      <c r="B58" s="86" t="s">
        <v>202</v>
      </c>
      <c r="C58" s="102">
        <v>35</v>
      </c>
      <c r="D58" s="86">
        <v>10</v>
      </c>
      <c r="E58" s="103">
        <f t="shared" si="0"/>
        <v>350</v>
      </c>
    </row>
    <row r="59" spans="1:5" ht="20.100000000000001" customHeight="1" x14ac:dyDescent="0.25">
      <c r="A59" s="85" t="s">
        <v>109</v>
      </c>
      <c r="B59" s="86" t="s">
        <v>203</v>
      </c>
      <c r="C59" s="102">
        <v>90</v>
      </c>
      <c r="D59" s="86">
        <v>6</v>
      </c>
      <c r="E59" s="103">
        <f t="shared" si="0"/>
        <v>540</v>
      </c>
    </row>
    <row r="60" spans="1:5" ht="20.100000000000001" customHeight="1" x14ac:dyDescent="0.25">
      <c r="A60" s="85" t="s">
        <v>75</v>
      </c>
      <c r="B60" s="86" t="s">
        <v>204</v>
      </c>
      <c r="C60" s="102">
        <v>375</v>
      </c>
      <c r="D60" s="86"/>
      <c r="E60" s="103">
        <v>375</v>
      </c>
    </row>
    <row r="61" spans="1:5" ht="20.100000000000001" customHeight="1" x14ac:dyDescent="0.25">
      <c r="A61" s="85" t="s">
        <v>63</v>
      </c>
      <c r="B61" s="86" t="s">
        <v>205</v>
      </c>
      <c r="C61" s="102">
        <v>200</v>
      </c>
      <c r="D61" s="86">
        <v>2</v>
      </c>
      <c r="E61" s="103">
        <f t="shared" si="0"/>
        <v>400</v>
      </c>
    </row>
    <row r="62" spans="1:5" ht="21.75" customHeight="1" x14ac:dyDescent="0.25">
      <c r="A62" s="104" t="s">
        <v>31</v>
      </c>
      <c r="B62" s="104"/>
      <c r="C62" s="104"/>
      <c r="D62" s="104"/>
      <c r="E62" s="105">
        <f>SUM(E56:E61)</f>
        <v>3015</v>
      </c>
    </row>
    <row r="65" spans="1:6" ht="18.75" x14ac:dyDescent="0.3">
      <c r="A65" s="97" t="s">
        <v>206</v>
      </c>
      <c r="B65" s="97"/>
      <c r="C65" s="97"/>
      <c r="D65" s="97"/>
      <c r="E65" s="97"/>
      <c r="F65" s="97"/>
    </row>
    <row r="66" spans="1:6" x14ac:dyDescent="0.25">
      <c r="A66" s="91" t="s">
        <v>209</v>
      </c>
      <c r="B66" s="91" t="s">
        <v>208</v>
      </c>
      <c r="C66" s="91" t="s">
        <v>207</v>
      </c>
      <c r="D66" s="91" t="s">
        <v>199</v>
      </c>
      <c r="E66" s="109" t="s">
        <v>211</v>
      </c>
      <c r="F66" s="110" t="s">
        <v>210</v>
      </c>
    </row>
    <row r="67" spans="1:6" x14ac:dyDescent="0.25">
      <c r="A67" s="83" t="s">
        <v>162</v>
      </c>
      <c r="B67" s="92">
        <v>35000</v>
      </c>
      <c r="C67" s="92">
        <f>B33</f>
        <v>28400</v>
      </c>
      <c r="D67" s="92">
        <f>E62</f>
        <v>3015</v>
      </c>
      <c r="E67" s="107">
        <f>C67+D67</f>
        <v>31415</v>
      </c>
      <c r="F67" s="111">
        <f>B67-E67</f>
        <v>3585</v>
      </c>
    </row>
    <row r="68" spans="1:6" x14ac:dyDescent="0.25">
      <c r="B68" s="44"/>
    </row>
  </sheetData>
  <mergeCells count="7">
    <mergeCell ref="A37:C37"/>
    <mergeCell ref="A54:E54"/>
    <mergeCell ref="A62:D62"/>
    <mergeCell ref="A65:F65"/>
    <mergeCell ref="A1:G1"/>
    <mergeCell ref="A3:D3"/>
    <mergeCell ref="A22:B22"/>
  </mergeCells>
  <hyperlinks>
    <hyperlink ref="D5" r:id="rId1"/>
    <hyperlink ref="D16" r:id="rId2"/>
    <hyperlink ref="D15" r:id="rId3"/>
    <hyperlink ref="D14" r:id="rId4"/>
    <hyperlink ref="D13" r:id="rId5"/>
    <hyperlink ref="D12" r:id="rId6"/>
    <hyperlink ref="D11" r:id="rId7"/>
    <hyperlink ref="D10" r:id="rId8"/>
    <hyperlink ref="D9" r:id="rId9"/>
    <hyperlink ref="D8" r:id="rId10"/>
    <hyperlink ref="D7" r:id="rId11"/>
    <hyperlink ref="D6" r:id="rId12"/>
    <hyperlink ref="D17" r:id="rId13"/>
    <hyperlink ref="D18" r:id="rId14"/>
  </hyperlinks>
  <pageMargins left="0.511811024" right="0.511811024" top="0.78740157499999996" bottom="0.78740157499999996" header="0.31496062000000002" footer="0.31496062000000002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Notas</vt:lpstr>
      <vt:lpstr>Cálculos</vt:lpstr>
      <vt:lpstr>Orçamento</vt:lpstr>
      <vt:lpstr>Dados</vt:lpstr>
      <vt:lpstr>Viagem</vt:lpstr>
      <vt:lpstr>Mensalidades</vt:lpstr>
      <vt:lpstr>Rep e Apv</vt:lpstr>
      <vt:lpstr>Casamento</vt:lpstr>
      <vt:lpstr>Desconto</vt:lpstr>
      <vt:lpstr>Idade</vt:lpstr>
      <vt:lpstr>Valor_Líquido</vt:lpstr>
      <vt:lpstr>valor_paulo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2023-12-05T16:33:58Z</dcterms:created>
  <dcterms:modified xsi:type="dcterms:W3CDTF">2023-12-11T19:36:55Z</dcterms:modified>
</cp:coreProperties>
</file>